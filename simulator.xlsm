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sus\Documents\"/>
    </mc:Choice>
  </mc:AlternateContent>
  <xr:revisionPtr revIDLastSave="0" documentId="13_ncr:1_{061A1A3A-C2C6-4754-AD0A-725E634FEF16}" xr6:coauthVersionLast="47" xr6:coauthVersionMax="47" xr10:uidLastSave="{00000000-0000-0000-0000-000000000000}"/>
  <bookViews>
    <workbookView xWindow="-108" yWindow="-108" windowWidth="23256" windowHeight="12456" activeTab="1" xr2:uid="{9712B125-01C3-4BEC-B9C3-09621BC0C367}"/>
  </bookViews>
  <sheets>
    <sheet name="Scenario Summary " sheetId="5" r:id="rId1"/>
    <sheet name="Simulator" sheetId="1" r:id="rId2"/>
  </sheets>
  <definedNames>
    <definedName name="AvgCostPerHire">Simulator!$E$13</definedName>
    <definedName name="avgSalary">Simulator!$B$10</definedName>
    <definedName name="Budget">Simulator!$B$13</definedName>
    <definedName name="feeAmount">Simulator!$E$11</definedName>
    <definedName name="hires">Simulator!$B$9</definedName>
    <definedName name="Recruitment_fee">Simulator!$B$12</definedName>
    <definedName name="TotalCost">Simulator!$E$12</definedName>
    <definedName name="TotalSalary">Simulator!$E$9</definedName>
    <definedName name="TotalTraining">Simulator!$E$10</definedName>
    <definedName name="trainPerHire">Simulator!$B$11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" l="1"/>
  <c r="H9" i="1" s="1"/>
  <c r="E9" i="1"/>
  <c r="E11" i="1" s="1"/>
  <c r="E12" i="1" l="1"/>
  <c r="H8" i="1"/>
  <c r="H10" i="1"/>
  <c r="E18" i="1" l="1"/>
  <c r="E13" i="1"/>
</calcChain>
</file>

<file path=xl/sharedStrings.xml><?xml version="1.0" encoding="utf-8"?>
<sst xmlns="http://schemas.openxmlformats.org/spreadsheetml/2006/main" count="42" uniqueCount="37">
  <si>
    <t>Label</t>
  </si>
  <si>
    <t>Value</t>
  </si>
  <si>
    <t>Number of hires</t>
  </si>
  <si>
    <t>Avg salary per hire</t>
  </si>
  <si>
    <t>Training cost per hire</t>
  </si>
  <si>
    <t>Recruitment fee</t>
  </si>
  <si>
    <t>Budget</t>
  </si>
  <si>
    <t>Metric</t>
  </si>
  <si>
    <t>Formula</t>
  </si>
  <si>
    <t>Total Salary Cost</t>
  </si>
  <si>
    <t>Total training cost</t>
  </si>
  <si>
    <t>Recruitment fee Amount</t>
  </si>
  <si>
    <t>Total Hiring Cost</t>
  </si>
  <si>
    <t>Average Cost per hire</t>
  </si>
  <si>
    <t>INPUTS</t>
  </si>
  <si>
    <t>CALCULATIONS</t>
  </si>
  <si>
    <t>Part</t>
  </si>
  <si>
    <t>Values</t>
  </si>
  <si>
    <t>Salary</t>
  </si>
  <si>
    <t xml:space="preserve">Training </t>
  </si>
  <si>
    <t>Recruitment Fees</t>
  </si>
  <si>
    <t>WHAT IF ANALYSIS</t>
  </si>
  <si>
    <t xml:space="preserve">Aggressive </t>
  </si>
  <si>
    <t>Base</t>
  </si>
  <si>
    <t>Conservative</t>
  </si>
  <si>
    <t>hires</t>
  </si>
  <si>
    <t>Recruitment_fee</t>
  </si>
  <si>
    <t>First scenario</t>
  </si>
  <si>
    <t>Created by Asus on 8/19/2025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</si>
  <si>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</si>
  <si>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</si>
  <si>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</si>
  <si>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</si>
  <si>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</si>
  <si>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</si>
  <si>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</si>
  <si>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TotalCost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</si>
</sst>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indexed="9"/>
      <name val="Aptos Narrow"/>
      <family val="2"/>
      <scheme val="minor"/>
    </font>
    <font>
      <b/>
      <sz val="11"/>
      <color indexed="8"/>
      <name val="Aptos Narrow"/>
      <family val="2"/>
      <scheme val="minor"/>
    </font>
    <font>
      <b/>
      <sz val="11"/>
      <color indexed="18"/>
      <name val="Aptos Narrow"/>
      <family val="2"/>
      <scheme val="minor"/>
    </font>
    <font>
      <sz val="10"/>
      <color indexed="9"/>
      <name val="Aptos Narrow"/>
      <family val="2"/>
      <scheme val="minor"/>
    </font>
    <font>
      <sz val="8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9" fontId="0" fillId="0" borderId="0" xfId="0" applyNumberFormat="1"/>
    <xf numFmtId="44" fontId="0" fillId="0" borderId="0" xfId="1" applyFont="1"/>
    <xf numFmtId="9" fontId="0" fillId="0" borderId="0" xfId="2" applyFont="1"/>
    <xf numFmtId="44" fontId="0" fillId="0" borderId="0" xfId="0" applyNumberFormat="1"/>
    <xf numFmtId="44" fontId="3" fillId="0" borderId="0" xfId="1" applyFont="1"/>
    <xf numFmtId="0" fontId="0" fillId="2" borderId="0" xfId="0" applyFill="1"/>
    <xf numFmtId="0" fontId="4" fillId="0" borderId="0" xfId="0" applyFont="1"/>
    <xf numFmtId="0" fontId="4" fillId="3" borderId="0" xfId="0" applyFont="1" applyFill="1"/>
    <xf numFmtId="0" fontId="2" fillId="2" borderId="0" xfId="0" applyFont="1" applyFill="1"/>
    <xf numFmtId="0" fontId="2" fillId="3" borderId="0" xfId="0" applyFont="1" applyFill="1"/>
    <xf numFmtId="0" fontId="0" fillId="4" borderId="1" xfId="0" applyFill="1" applyBorder="1"/>
    <xf numFmtId="44" fontId="0" fillId="0" borderId="3" xfId="0" applyNumberFormat="1" applyBorder="1"/>
    <xf numFmtId="0" fontId="5" fillId="5" borderId="1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left"/>
    </xf>
    <xf numFmtId="0" fontId="0" fillId="0" borderId="4" xfId="0" applyBorder="1"/>
    <xf numFmtId="0" fontId="6" fillId="6" borderId="0" xfId="0" applyFont="1" applyFill="1" applyAlignment="1">
      <alignment horizontal="left"/>
    </xf>
    <xf numFmtId="0" fontId="7" fillId="6" borderId="4" xfId="0" applyFont="1" applyFill="1" applyBorder="1" applyAlignment="1">
      <alignment horizontal="left"/>
    </xf>
    <xf numFmtId="0" fontId="6" fillId="6" borderId="3" xfId="0" applyFont="1" applyFill="1" applyBorder="1" applyAlignment="1">
      <alignment horizontal="left"/>
    </xf>
    <xf numFmtId="0" fontId="8" fillId="5" borderId="2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0" fillId="7" borderId="0" xfId="0" applyFill="1"/>
    <xf numFmtId="9" fontId="0" fillId="7" borderId="0" xfId="0" applyNumberFormat="1" applyFill="1"/>
    <xf numFmtId="0" fontId="9" fillId="0" borderId="0" xfId="0" applyFont="1" applyAlignment="1">
      <alignment vertical="top" wrapText="1"/>
    </xf>
    <xf numFmtId="0" fontId="0" fillId="4" borderId="0" xfId="0" applyFill="1"/>
  </cellXfs>
  <cellStyles count="3">
    <cellStyle name="Currency" xfId="1" builtinId="4"/>
    <cellStyle name="Normal" xfId="0" builtinId="0"/>
    <cellStyle name="Percent" xfId="2" builtinId="5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numFmt numFmtId="34" formatCode="_(&quot;$&quot;* #,##0.00_);_(&quot;$&quot;* \(#,##0.00\);_(&quot;$&quot;* &quot;-&quot;??_);_(@_)"/>
    </dxf>
    <dxf>
      <fill>
        <patternFill patternType="solid">
          <fgColor indexed="64"/>
          <bgColor theme="8" tint="-0.249977111117893"/>
        </patternFill>
      </fill>
    </dxf>
    <dxf>
      <font>
        <color theme="2"/>
      </font>
      <fill>
        <patternFill>
          <bgColor rgb="FFFF0000"/>
        </patternFill>
      </fill>
    </dxf>
    <dxf>
      <fill>
        <patternFill>
          <bgColor theme="6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Simulator!$H$7</c:f>
              <c:strCache>
                <c:ptCount val="1"/>
                <c:pt idx="0">
                  <c:v>Values</c:v>
                </c:pt>
              </c:strCache>
            </c:strRef>
          </c:tx>
          <c:dPt>
            <c:idx val="0"/>
            <c:bubble3D val="0"/>
            <c:explosion val="3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A6-4974-9C6E-383612D0BDD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6A6-4974-9C6E-383612D0BDDC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A6-4974-9C6E-383612D0BDDC}"/>
              </c:ext>
            </c:extLst>
          </c:dPt>
          <c:dLbls>
            <c:dLbl>
              <c:idx val="0"/>
              <c:layout>
                <c:manualLayout>
                  <c:x val="-5.8964769709762131E-2"/>
                  <c:y val="-4.8176065578228212E-2"/>
                </c:manualLayout>
              </c:layout>
              <c:spPr>
                <a:xfrm>
                  <a:off x="1488814" y="1777230"/>
                  <a:ext cx="665020" cy="313083"/>
                </a:xfrm>
                <a:solidFill>
                  <a:sysClr val="window" lastClr="FFFFFF"/>
                </a:solidFill>
                <a:ln w="9525" cap="flat" cmpd="sng" algn="ctr">
                  <a:solidFill>
                    <a:sysClr val="windowText" lastClr="000000">
                      <a:lumMod val="25000"/>
                      <a:lumOff val="75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  <a:extLst>
                    <a:ext uri="{C807C97D-BFC1-408E-A445-0C87EB9F89A2}">
                      <ask:lineSketchStyleProps xmlns:ask="http://schemas.microsoft.com/office/drawing/2018/sketchyshapes" sd="0">
                        <a:custGeom>
                          <a:avLst/>
                          <a:gdLst/>
                          <a:ahLst/>
                          <a:cxnLst/>
                          <a:rect l="0" t="0" r="0" b="0"/>
                          <a:pathLst/>
                        </a:custGeom>
                        <ask:type/>
                      </ask:lineSketchStyleProps>
                    </a:ext>
                  </a:extLst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79642"/>
                        <a:gd name="adj2" fmla="val -157845"/>
                      </a:avLst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876134894269991"/>
                      <c:h val="0.168063236590965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6A6-4974-9C6E-383612D0BDDC}"/>
                </c:ext>
              </c:extLst>
            </c:dLbl>
            <c:dLbl>
              <c:idx val="1"/>
              <c:layout>
                <c:manualLayout>
                  <c:x val="-2.9333329637795742E-2"/>
                  <c:y val="2.0560741611379319E-2"/>
                </c:manualLayout>
              </c:layout>
              <c:spPr>
                <a:xfrm>
                  <a:off x="0" y="47120"/>
                  <a:ext cx="743398" cy="570254"/>
                </a:xfrm>
                <a:solidFill>
                  <a:sysClr val="window" lastClr="FFFFFF"/>
                </a:solidFill>
                <a:ln w="9525" cap="flat" cmpd="sng" algn="ctr">
                  <a:solidFill>
                    <a:sysClr val="windowText" lastClr="000000">
                      <a:lumMod val="25000"/>
                      <a:lumOff val="75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  <a:extLst>
                    <a:ext uri="{C807C97D-BFC1-408E-A445-0C87EB9F89A2}">
                      <ask:lineSketchStyleProps xmlns:ask="http://schemas.microsoft.com/office/drawing/2018/sketchyshapes" sd="0">
                        <a:custGeom>
                          <a:avLst/>
                          <a:gdLst/>
                          <a:ahLst/>
                          <a:cxnLst/>
                          <a:rect l="0" t="0" r="0" b="0"/>
                          <a:pathLst/>
                        </a:custGeom>
                        <ask:type/>
                      </ask:lineSketchStyleProps>
                    </a:ext>
                  </a:extLst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60657"/>
                        <a:gd name="adj2" fmla="val 71221"/>
                      </a:avLst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434069068673713"/>
                      <c:h val="0.2488270663545319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6A6-4974-9C6E-383612D0BDDC}"/>
                </c:ext>
              </c:extLst>
            </c:dLbl>
            <c:dLbl>
              <c:idx val="2"/>
              <c:layout>
                <c:manualLayout>
                  <c:x val="0.4380940665586362"/>
                  <c:y val="-1.7452424013671627E-2"/>
                </c:manualLayout>
              </c:layout>
              <c:spPr>
                <a:xfrm>
                  <a:off x="943581" y="0"/>
                  <a:ext cx="927345" cy="618972"/>
                </a:xfrm>
                <a:solidFill>
                  <a:sysClr val="window" lastClr="FFFFFF"/>
                </a:solidFill>
                <a:ln w="9525" cap="flat" cmpd="sng" algn="ctr">
                  <a:solidFill>
                    <a:sysClr val="windowText" lastClr="000000">
                      <a:lumMod val="25000"/>
                      <a:lumOff val="75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  <a:extLst>
                    <a:ext uri="{C807C97D-BFC1-408E-A445-0C87EB9F89A2}">
                      <ask:lineSketchStyleProps xmlns:ask="http://schemas.microsoft.com/office/drawing/2018/sketchyshapes" sd="0">
                        <a:custGeom>
                          <a:avLst/>
                          <a:gdLst/>
                          <a:ahLst/>
                          <a:cxnLst/>
                          <a:rect l="0" t="0" r="0" b="0"/>
                          <a:pathLst/>
                        </a:custGeom>
                        <ask:type/>
                      </ask:lineSketchStyleProps>
                    </a:ext>
                  </a:extLst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47849"/>
                        <a:gd name="adj2" fmla="val 74649"/>
                      </a:avLst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43055526537548139"/>
                      <c:h val="0.276237454969991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6A6-4974-9C6E-383612D0BDDC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Simulator!$G$8:$G$10</c:f>
              <c:strCache>
                <c:ptCount val="3"/>
                <c:pt idx="0">
                  <c:v>Salary</c:v>
                </c:pt>
                <c:pt idx="1">
                  <c:v>Training </c:v>
                </c:pt>
                <c:pt idx="2">
                  <c:v>Recruitment Fees</c:v>
                </c:pt>
              </c:strCache>
            </c:strRef>
          </c:cat>
          <c:val>
            <c:numRef>
              <c:f>Simulator!$H$8:$H$10</c:f>
              <c:numCache>
                <c:formatCode>General</c:formatCode>
                <c:ptCount val="3"/>
                <c:pt idx="0">
                  <c:v>390000</c:v>
                </c:pt>
                <c:pt idx="1">
                  <c:v>65000</c:v>
                </c:pt>
                <c:pt idx="2">
                  <c:v>39000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A6-4974-9C6E-383612D0B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B$9" max="50" min="10" page="10" val="13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151610</xdr:colOff>
      <xdr:row>6</xdr:row>
      <xdr:rowOff>4559</xdr:rowOff>
    </xdr:from>
    <xdr:to>
      <xdr:col>11</xdr:col>
      <xdr:colOff>480656</xdr:colOff>
      <xdr:row>18</xdr:row>
      <xdr:rowOff>79603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4A5476-3B12-C17D-F87A-892A217C35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23091</xdr:colOff>
      <xdr:row>14</xdr:row>
      <xdr:rowOff>167410</xdr:rowOff>
    </xdr:from>
    <xdr:to>
      <xdr:col>5</xdr:col>
      <xdr:colOff>11545</xdr:colOff>
      <xdr:row>16</xdr:row>
      <xdr:rowOff>40409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8257E8A-4019-5744-068B-0923E0571BDB}"/>
            </a:ext>
          </a:extLst>
        </xdr:cNvPr>
        <xdr:cNvSpPr/>
      </xdr:nvSpPr>
      <xdr:spPr>
        <a:xfrm>
          <a:off x="1212273" y="2384137"/>
          <a:ext cx="5045363" cy="242454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/>
              </a:solidFill>
            </a:rPr>
            <a:t>What recruitment fee % keeps the total hiring cost = budget</a:t>
          </a:r>
          <a:r>
            <a:rPr lang="en-US" sz="1100" b="1" baseline="0">
              <a:solidFill>
                <a:schemeClr val="tx1"/>
              </a:solidFill>
            </a:rPr>
            <a:t> of 500000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103480</xdr:colOff>
      <xdr:row>14</xdr:row>
      <xdr:rowOff>174037</xdr:rowOff>
    </xdr:from>
    <xdr:to>
      <xdr:col>6</xdr:col>
      <xdr:colOff>625591</xdr:colOff>
      <xdr:row>17</xdr:row>
      <xdr:rowOff>159926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95D0D54-6DF4-E724-6E51-5CA783AB92E1}"/>
            </a:ext>
          </a:extLst>
        </xdr:cNvPr>
        <xdr:cNvSpPr/>
      </xdr:nvSpPr>
      <xdr:spPr>
        <a:xfrm>
          <a:off x="6349999" y="2375370"/>
          <a:ext cx="1373481" cy="536223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/>
              </a:solidFill>
            </a:rPr>
            <a:t>it is determined by using</a:t>
          </a:r>
          <a:r>
            <a:rPr lang="en-US" sz="1100" b="1" baseline="0">
              <a:solidFill>
                <a:schemeClr val="tx1"/>
              </a:solidFill>
            </a:rPr>
            <a:t> goal seek.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</xdr:colOff>
          <xdr:row>7</xdr:row>
          <xdr:rowOff>0</xdr:rowOff>
        </xdr:from>
        <xdr:to>
          <xdr:col>2</xdr:col>
          <xdr:colOff>640080</xdr:colOff>
          <xdr:row>8</xdr:row>
          <xdr:rowOff>45720</xdr:rowOff>
        </xdr:to>
        <xdr:sp macro="" textlink="">
          <xdr:nvSpPr>
            <xdr:cNvPr id="1041" name="Spinner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187158</xdr:colOff>
      <xdr:row>0</xdr:row>
      <xdr:rowOff>0</xdr:rowOff>
    </xdr:from>
    <xdr:to>
      <xdr:col>1</xdr:col>
      <xdr:colOff>1029368</xdr:colOff>
      <xdr:row>5</xdr:row>
      <xdr:rowOff>173790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610CC701-BF7D-F075-605D-97F867675E60}"/>
            </a:ext>
          </a:extLst>
        </xdr:cNvPr>
        <xdr:cNvSpPr/>
      </xdr:nvSpPr>
      <xdr:spPr>
        <a:xfrm>
          <a:off x="187158" y="0"/>
          <a:ext cx="2031999" cy="1076158"/>
        </a:xfrm>
        <a:prstGeom prst="rightArrow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Scenario</a:t>
          </a:r>
          <a:r>
            <a:rPr lang="en-US" sz="1400" b="1" baseline="0">
              <a:solidFill>
                <a:schemeClr val="tx1"/>
              </a:solidFill>
            </a:rPr>
            <a:t> Manager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111720</xdr:colOff>
      <xdr:row>2</xdr:row>
      <xdr:rowOff>20291</xdr:rowOff>
    </xdr:from>
    <xdr:to>
      <xdr:col>4</xdr:col>
      <xdr:colOff>91667</xdr:colOff>
      <xdr:row>4</xdr:row>
      <xdr:rowOff>47027</xdr:rowOff>
    </xdr:to>
    <xdr:sp macro="[0]!try" textlink="">
      <xdr:nvSpPr>
        <xdr:cNvPr id="18" name="Rectangle 17">
          <a:extLst>
            <a:ext uri="{FF2B5EF4-FFF2-40B4-BE49-F238E27FC236}">
              <a16:creationId xmlns:a16="http://schemas.microsoft.com/office/drawing/2014/main" id="{0CB12C27-9754-1B52-FD07-46C446E4490B}"/>
            </a:ext>
          </a:extLst>
        </xdr:cNvPr>
        <xdr:cNvSpPr/>
      </xdr:nvSpPr>
      <xdr:spPr>
        <a:xfrm>
          <a:off x="3259506" y="383148"/>
          <a:ext cx="1422304" cy="389593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TEST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564674</xdr:colOff>
      <xdr:row>2</xdr:row>
      <xdr:rowOff>18954</xdr:rowOff>
    </xdr:from>
    <xdr:to>
      <xdr:col>8</xdr:col>
      <xdr:colOff>330726</xdr:colOff>
      <xdr:row>4</xdr:row>
      <xdr:rowOff>45690</xdr:rowOff>
    </xdr:to>
    <xdr:sp macro="[0]!AGGRESSIVE" textlink="">
      <xdr:nvSpPr>
        <xdr:cNvPr id="19" name="Rectangle 18">
          <a:extLst>
            <a:ext uri="{FF2B5EF4-FFF2-40B4-BE49-F238E27FC236}">
              <a16:creationId xmlns:a16="http://schemas.microsoft.com/office/drawing/2014/main" id="{002E0B30-8D10-496E-87E6-E5C31A5DBDB9}"/>
            </a:ext>
          </a:extLst>
        </xdr:cNvPr>
        <xdr:cNvSpPr/>
      </xdr:nvSpPr>
      <xdr:spPr>
        <a:xfrm>
          <a:off x="7667603" y="381811"/>
          <a:ext cx="1417052" cy="38959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AGRESSIVE</a:t>
          </a:r>
        </a:p>
      </xdr:txBody>
    </xdr:sp>
    <xdr:clientData/>
  </xdr:twoCellAnchor>
  <xdr:twoCellAnchor>
    <xdr:from>
      <xdr:col>4</xdr:col>
      <xdr:colOff>1608222</xdr:colOff>
      <xdr:row>2</xdr:row>
      <xdr:rowOff>19767</xdr:rowOff>
    </xdr:from>
    <xdr:to>
      <xdr:col>6</xdr:col>
      <xdr:colOff>505326</xdr:colOff>
      <xdr:row>4</xdr:row>
      <xdr:rowOff>46503</xdr:rowOff>
    </xdr:to>
    <xdr:sp macro="[0]!base_1" textlink="">
      <xdr:nvSpPr>
        <xdr:cNvPr id="20" name="Rectangle 19">
          <a:extLst>
            <a:ext uri="{FF2B5EF4-FFF2-40B4-BE49-F238E27FC236}">
              <a16:creationId xmlns:a16="http://schemas.microsoft.com/office/drawing/2014/main" id="{BC7D36EF-8F09-4093-86E7-081AB77BE3EB}"/>
            </a:ext>
          </a:extLst>
        </xdr:cNvPr>
        <xdr:cNvSpPr/>
      </xdr:nvSpPr>
      <xdr:spPr>
        <a:xfrm>
          <a:off x="6198365" y="382624"/>
          <a:ext cx="1409890" cy="389593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BASE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143043</xdr:colOff>
      <xdr:row>2</xdr:row>
      <xdr:rowOff>16042</xdr:rowOff>
    </xdr:from>
    <xdr:to>
      <xdr:col>4</xdr:col>
      <xdr:colOff>1560095</xdr:colOff>
      <xdr:row>4</xdr:row>
      <xdr:rowOff>42778</xdr:rowOff>
    </xdr:to>
    <xdr:sp macro="[0]!conservative" textlink="">
      <xdr:nvSpPr>
        <xdr:cNvPr id="21" name="Rectangle 20">
          <a:extLst>
            <a:ext uri="{FF2B5EF4-FFF2-40B4-BE49-F238E27FC236}">
              <a16:creationId xmlns:a16="http://schemas.microsoft.com/office/drawing/2014/main" id="{5FFE752B-D4D2-4661-964E-CEB755620EFF}"/>
            </a:ext>
          </a:extLst>
        </xdr:cNvPr>
        <xdr:cNvSpPr/>
      </xdr:nvSpPr>
      <xdr:spPr>
        <a:xfrm>
          <a:off x="4728411" y="376989"/>
          <a:ext cx="1417052" cy="387684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CONSERVATIVE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119944</xdr:colOff>
      <xdr:row>2</xdr:row>
      <xdr:rowOff>21166</xdr:rowOff>
    </xdr:from>
    <xdr:to>
      <xdr:col>3</xdr:col>
      <xdr:colOff>70556</xdr:colOff>
      <xdr:row>4</xdr:row>
      <xdr:rowOff>49388</xdr:rowOff>
    </xdr:to>
    <xdr:sp macro="[0]!AB" textlink="">
      <xdr:nvSpPr>
        <xdr:cNvPr id="40" name="Rectangle 39">
          <a:extLst>
            <a:ext uri="{FF2B5EF4-FFF2-40B4-BE49-F238E27FC236}">
              <a16:creationId xmlns:a16="http://schemas.microsoft.com/office/drawing/2014/main" id="{CFAC5E3D-37F9-0D64-3EC9-92A31BAA7A76}"/>
            </a:ext>
          </a:extLst>
        </xdr:cNvPr>
        <xdr:cNvSpPr/>
      </xdr:nvSpPr>
      <xdr:spPr>
        <a:xfrm>
          <a:off x="2413000" y="388055"/>
          <a:ext cx="804334" cy="395111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OFF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D1CA99-8A6D-40EC-B769-02100EF11CC8}" name="Table1" displayName="Table1" ref="D8:E13" totalsRowShown="0" headerRowDxfId="3">
  <autoFilter ref="D8:E13" xr:uid="{5DD1CA99-8A6D-40EC-B769-02100EF11CC8}"/>
  <tableColumns count="2">
    <tableColumn id="1" xr3:uid="{C5D321F9-ACD4-47E0-A0A8-4360BE56E5B1}" name="Metric"/>
    <tableColumn id="2" xr3:uid="{ACEC7C63-F101-49A1-8CCA-226E908C716E}" name="Formula" dataDxfId="2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653FEC9-CCC0-41C8-A333-D0F44CE1DC89}" name="Table2" displayName="Table2" ref="A8:B13" totalsRowShown="0" headerRowDxfId="1">
  <autoFilter ref="A8:B13" xr:uid="{6653FEC9-CCC0-41C8-A333-D0F44CE1DC89}"/>
  <tableColumns count="2">
    <tableColumn id="1" xr3:uid="{BB6CEB6B-8054-4A40-BB1A-285A0E502830}" name="Label"/>
    <tableColumn id="2" xr3:uid="{B1854F5E-246B-4D40-98FD-AC2F0F2ED1AC}" name="Value" dataDxfId="0" dataCellStyle="Percent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8F2AD41-CC1F-4176-A910-74E2C58BBBBA}" name="Table3" displayName="Table3" ref="G7:H10" totalsRowShown="0">
  <autoFilter ref="G7:H10" xr:uid="{38F2AD41-CC1F-4176-A910-74E2C58BBBBA}"/>
  <tableColumns count="2">
    <tableColumn id="1" xr3:uid="{EAD450C4-517B-400F-AD4F-A419F4E1D9F0}" name="Part"/>
    <tableColumn id="2" xr3:uid="{C0A33EAA-15E2-4FFE-B5CD-0DDA4443437B}" name="Values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0EDBE-8853-484B-A1FC-4954B56C4AA1}">
  <sheetPr codeName="Sheet1">
    <outlinePr summaryBelow="0"/>
  </sheetPr>
  <dimension ref="B1:G13"/>
  <sheetViews>
    <sheetView showGridLines="0" zoomScale="114" workbookViewId="0">
      <selection activeCell="C3" sqref="C3"/>
    </sheetView>
  </sheetViews>
  <sheetFormatPr defaultRowHeight="14.4" outlineLevelRow="1" outlineLevelCol="1" x14ac:dyDescent="0.3"/>
  <cols>
    <col min="3" max="3" width="14.77734375" bestFit="1" customWidth="1"/>
    <col min="4" max="4" width="15.44140625" bestFit="1" customWidth="1" outlineLevel="1"/>
    <col min="5" max="6" width="16.33203125" customWidth="1" outlineLevel="1"/>
    <col min="7" max="7" width="15.109375" customWidth="1" outlineLevel="1"/>
  </cols>
  <sheetData>
    <row r="1" spans="2:7" ht="15" thickBot="1" x14ac:dyDescent="0.35"/>
    <row r="2" spans="2:7" ht="15.6" x14ac:dyDescent="0.3">
      <c r="B2" s="14" t="s">
        <v>29</v>
      </c>
      <c r="C2" s="14"/>
      <c r="D2" s="19"/>
      <c r="E2" s="19"/>
      <c r="F2" s="19"/>
      <c r="G2" s="19"/>
    </row>
    <row r="3" spans="2:7" ht="15.6" collapsed="1" x14ac:dyDescent="0.3">
      <c r="B3" s="13"/>
      <c r="C3" s="13"/>
      <c r="D3" s="20" t="s">
        <v>31</v>
      </c>
      <c r="E3" s="20" t="s">
        <v>24</v>
      </c>
      <c r="F3" s="20" t="s">
        <v>23</v>
      </c>
      <c r="G3" s="20" t="s">
        <v>22</v>
      </c>
    </row>
    <row r="4" spans="2:7" ht="21.6" hidden="1" outlineLevel="1" x14ac:dyDescent="0.3">
      <c r="B4" s="16"/>
      <c r="C4" s="16"/>
      <c r="E4" s="23" t="s">
        <v>27</v>
      </c>
      <c r="F4" s="23" t="s">
        <v>28</v>
      </c>
      <c r="G4" s="23" t="s">
        <v>28</v>
      </c>
    </row>
    <row r="5" spans="2:7" x14ac:dyDescent="0.3">
      <c r="B5" s="17" t="s">
        <v>30</v>
      </c>
      <c r="C5" s="17"/>
      <c r="D5" s="15"/>
      <c r="E5" s="15"/>
      <c r="F5" s="15"/>
      <c r="G5" s="15"/>
    </row>
    <row r="6" spans="2:7" outlineLevel="1" x14ac:dyDescent="0.3">
      <c r="B6" s="16"/>
      <c r="C6" s="16" t="s">
        <v>25</v>
      </c>
      <c r="D6">
        <v>13</v>
      </c>
      <c r="E6" s="21">
        <v>20</v>
      </c>
      <c r="F6" s="21">
        <v>50</v>
      </c>
      <c r="G6" s="21">
        <v>120</v>
      </c>
    </row>
    <row r="7" spans="2:7" outlineLevel="1" x14ac:dyDescent="0.3">
      <c r="B7" s="16"/>
      <c r="C7" s="16" t="s">
        <v>26</v>
      </c>
      <c r="D7" s="1">
        <v>0.08</v>
      </c>
      <c r="E7" s="22">
        <v>0.05</v>
      </c>
      <c r="F7" s="22">
        <v>0.08</v>
      </c>
      <c r="G7" s="22">
        <v>0.1</v>
      </c>
    </row>
    <row r="8" spans="2:7" x14ac:dyDescent="0.3">
      <c r="B8" s="17" t="s">
        <v>32</v>
      </c>
      <c r="C8" s="17"/>
      <c r="D8" s="15"/>
      <c r="E8" s="15"/>
      <c r="F8" s="15"/>
      <c r="G8" s="15"/>
    </row>
    <row r="9" spans="2:7" outlineLevel="1" x14ac:dyDescent="0.3">
      <c r="B9" s="16"/>
      <c r="C9" s="16" t="s">
        <v>36</v>
      </c>
      <c r="D9" s="4">
        <v>486200</v>
      </c>
      <c r="E9" s="4">
        <v>730000</v>
      </c>
      <c r="F9" s="4">
        <v>1870000</v>
      </c>
      <c r="G9" s="4">
        <v>4560000</v>
      </c>
    </row>
    <row r="10" spans="2:7" ht="15" outlineLevel="1" thickBot="1" x14ac:dyDescent="0.35">
      <c r="B10" s="18"/>
      <c r="C10" s="18" t="s">
        <v>6</v>
      </c>
      <c r="D10" s="12">
        <v>3000000</v>
      </c>
      <c r="E10" s="12">
        <v>3000000</v>
      </c>
      <c r="F10" s="12">
        <v>3000000</v>
      </c>
      <c r="G10" s="12">
        <v>3000000</v>
      </c>
    </row>
    <row r="11" spans="2:7" x14ac:dyDescent="0.3">
      <c r="B11" t="s">
        <v>33</v>
      </c>
    </row>
    <row r="12" spans="2:7" x14ac:dyDescent="0.3">
      <c r="B12" t="s">
        <v>34</v>
      </c>
    </row>
    <row r="13" spans="2:7" x14ac:dyDescent="0.3">
      <c r="B13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07BB-691F-40E5-82A7-F9C7BDE38CA4}">
  <sheetPr codeName="Sheet2"/>
  <dimension ref="A1:J20"/>
  <sheetViews>
    <sheetView tabSelected="1" zoomScale="108" zoomScaleNormal="142" workbookViewId="0">
      <selection activeCell="H16" sqref="H16"/>
    </sheetView>
  </sheetViews>
  <sheetFormatPr defaultRowHeight="14.4" x14ac:dyDescent="0.3"/>
  <cols>
    <col min="1" max="1" width="17.33203125" customWidth="1"/>
    <col min="2" max="2" width="16.109375" customWidth="1"/>
    <col min="3" max="3" width="12.44140625" customWidth="1"/>
    <col min="4" max="4" width="21" customWidth="1"/>
    <col min="5" max="5" width="24.21875" customWidth="1"/>
    <col min="6" max="6" width="12.44140625" bestFit="1" customWidth="1"/>
    <col min="7" max="7" width="15.21875" customWidth="1"/>
  </cols>
  <sheetData>
    <row r="1" spans="1:10" x14ac:dyDescent="0.3">
      <c r="E1" s="24"/>
    </row>
    <row r="4" spans="1:10" x14ac:dyDescent="0.3">
      <c r="J4" s="24"/>
    </row>
    <row r="6" spans="1:10" x14ac:dyDescent="0.3">
      <c r="A6" s="10" t="s">
        <v>14</v>
      </c>
      <c r="D6" s="9" t="s">
        <v>15</v>
      </c>
    </row>
    <row r="7" spans="1:10" x14ac:dyDescent="0.3">
      <c r="C7" s="11"/>
      <c r="G7" t="s">
        <v>16</v>
      </c>
      <c r="H7" t="s">
        <v>17</v>
      </c>
    </row>
    <row r="8" spans="1:10" x14ac:dyDescent="0.3">
      <c r="A8" s="8" t="s">
        <v>0</v>
      </c>
      <c r="B8" s="8" t="s">
        <v>1</v>
      </c>
      <c r="D8" s="6" t="s">
        <v>7</v>
      </c>
      <c r="E8" s="6" t="s">
        <v>8</v>
      </c>
      <c r="F8" s="24"/>
      <c r="G8" t="s">
        <v>18</v>
      </c>
      <c r="H8">
        <f>TotalSalary</f>
        <v>390000</v>
      </c>
    </row>
    <row r="9" spans="1:10" x14ac:dyDescent="0.3">
      <c r="A9" t="s">
        <v>2</v>
      </c>
      <c r="B9">
        <v>13</v>
      </c>
      <c r="C9" s="2"/>
      <c r="D9" t="s">
        <v>9</v>
      </c>
      <c r="E9" s="4">
        <f>$B$9*$B$10</f>
        <v>390000</v>
      </c>
      <c r="F9" s="24"/>
      <c r="G9" t="s">
        <v>19</v>
      </c>
      <c r="H9">
        <f>TotalTraining</f>
        <v>65000</v>
      </c>
    </row>
    <row r="10" spans="1:10" x14ac:dyDescent="0.3">
      <c r="A10" t="s">
        <v>3</v>
      </c>
      <c r="B10" s="2">
        <v>30000</v>
      </c>
      <c r="D10" t="s">
        <v>10</v>
      </c>
      <c r="E10" s="4">
        <f>$B$9*$B$11</f>
        <v>65000</v>
      </c>
      <c r="G10" t="s">
        <v>20</v>
      </c>
      <c r="H10">
        <f>feeAmount</f>
        <v>39000</v>
      </c>
    </row>
    <row r="11" spans="1:10" x14ac:dyDescent="0.3">
      <c r="A11" t="s">
        <v>4</v>
      </c>
      <c r="B11" s="2">
        <v>5000</v>
      </c>
      <c r="C11" s="3"/>
      <c r="D11" t="s">
        <v>11</v>
      </c>
      <c r="E11" s="4">
        <f>E9*$B$12</f>
        <v>39000</v>
      </c>
    </row>
    <row r="12" spans="1:10" x14ac:dyDescent="0.3">
      <c r="A12" t="s">
        <v>5</v>
      </c>
      <c r="B12" s="3">
        <v>0.1</v>
      </c>
      <c r="C12" s="2"/>
      <c r="D12" s="5" t="s">
        <v>12</v>
      </c>
      <c r="E12" s="5">
        <f>SUM(E9:E11)</f>
        <v>494000</v>
      </c>
    </row>
    <row r="13" spans="1:10" x14ac:dyDescent="0.3">
      <c r="A13" t="s">
        <v>6</v>
      </c>
      <c r="B13" s="2">
        <v>3000000</v>
      </c>
      <c r="D13" t="s">
        <v>13</v>
      </c>
      <c r="E13" s="4">
        <f>E12/$B$9</f>
        <v>38000</v>
      </c>
    </row>
    <row r="14" spans="1:10" x14ac:dyDescent="0.3">
      <c r="A14" t="s">
        <v>5</v>
      </c>
      <c r="B14" s="1">
        <v>0.03</v>
      </c>
      <c r="C14" s="1">
        <v>0.05</v>
      </c>
      <c r="D14" s="1">
        <v>0.08</v>
      </c>
      <c r="E14" s="1">
        <v>0.1</v>
      </c>
      <c r="F14" s="1">
        <v>0.12</v>
      </c>
    </row>
    <row r="16" spans="1:10" x14ac:dyDescent="0.3">
      <c r="A16" s="10" t="s">
        <v>21</v>
      </c>
      <c r="E16" s="7"/>
    </row>
    <row r="17" spans="1:8" x14ac:dyDescent="0.3">
      <c r="H17" s="24"/>
    </row>
    <row r="18" spans="1:8" x14ac:dyDescent="0.3">
      <c r="A18" t="s">
        <v>5</v>
      </c>
      <c r="B18" s="3">
        <v>0.12</v>
      </c>
      <c r="C18" s="3"/>
      <c r="D18" s="5" t="s">
        <v>12</v>
      </c>
      <c r="E18" s="5">
        <f>E12</f>
        <v>494000</v>
      </c>
    </row>
    <row r="19" spans="1:8" x14ac:dyDescent="0.3">
      <c r="A19" s="3"/>
      <c r="B19" s="2"/>
      <c r="C19" s="2"/>
    </row>
    <row r="20" spans="1:8" x14ac:dyDescent="0.3">
      <c r="E20" s="2"/>
    </row>
  </sheetData>
  <scenarios current="2" show="2" sqref="E9 B10">
    <scenario name="Conservative" locked="1" count="2" user="Asus" comment="First scenario">
      <inputCells r="B9" val="20"/>
      <inputCells r="B12" val="0.05" numFmtId="9"/>
    </scenario>
    <scenario name="Base" locked="1" count="2" user="Asus" comment="Created by Asus on 8/19/2025">
      <inputCells r="B9" val="50"/>
      <inputCells r="B12" val="0.08" numFmtId="9"/>
    </scenario>
    <scenario name="Aggressive " locked="1" count="2" user="Asus" comment="Created by Asus on 8/19/2025">
      <inputCells r="B9" val="120"/>
      <inputCells r="B12" val="0.1" numFmtId="9"/>
    </scenario>
    <scenario name="test" locked="1" count="2" user="Asus" comment="Created by Asus on 8/20/2025_x000a_Modified by Asus on 8/20/2025">
      <inputCells r="B9" val="5"/>
      <inputCells r="B12" val="0.03" numFmtId="9"/>
    </scenario>
  </scenarios>
  <conditionalFormatting sqref="D12:E12 D18:E18">
    <cfRule type="cellIs" dxfId="5" priority="7" operator="lessThanOrEqual">
      <formula>$B$13</formula>
    </cfRule>
  </conditionalFormatting>
  <conditionalFormatting sqref="E12 E18">
    <cfRule type="cellIs" dxfId="4" priority="9" operator="greaterThan">
      <formula>$B$13</formula>
    </cfRule>
  </conditionalFormatting>
  <dataValidations count="5">
    <dataValidation type="list" allowBlank="1" showInputMessage="1" showErrorMessage="1" sqref="C11 C18" xr:uid="{44511065-D6CB-4F63-93CB-D8E01C394917}">
      <formula1>$B$14:$E$14</formula1>
    </dataValidation>
    <dataValidation type="list" allowBlank="1" showInputMessage="1" showErrorMessage="1" sqref="B12 B18 A19" xr:uid="{0AA04918-A10D-46AC-9053-CF5800B2B109}">
      <formula1>$B$14:$F$14</formula1>
    </dataValidation>
    <dataValidation type="decimal" allowBlank="1" showInputMessage="1" showErrorMessage="1" sqref="B10:B11 C9" xr:uid="{846C48D1-85D0-414C-A807-833D4CD0ABD3}">
      <formula1>0</formula1>
      <formula2>2000000</formula2>
    </dataValidation>
    <dataValidation type="whole" allowBlank="1" showInputMessage="1" showErrorMessage="1" sqref="C8 B9" xr:uid="{E28A37F7-8108-41B6-8874-1F0BC99E347E}">
      <formula1>1</formula1>
      <formula2>1000</formula2>
    </dataValidation>
    <dataValidation type="whole" allowBlank="1" showInputMessage="1" showErrorMessage="1" sqref="B20" xr:uid="{83597653-0E9B-45CA-8C32-76C38654DB79}">
      <formula1>1</formula1>
      <formula2>150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3" name="Spinner 17">
              <controlPr defaultSize="0" autoPict="0">
                <anchor moveWithCells="1" sizeWithCells="1">
                  <from>
                    <xdr:col>2</xdr:col>
                    <xdr:colOff>121920</xdr:colOff>
                    <xdr:row>7</xdr:row>
                    <xdr:rowOff>0</xdr:rowOff>
                  </from>
                  <to>
                    <xdr:col>2</xdr:col>
                    <xdr:colOff>640080</xdr:colOff>
                    <xdr:row>8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Scenario Summary </vt:lpstr>
      <vt:lpstr>Simulator</vt:lpstr>
      <vt:lpstr>AvgCostPerHire</vt:lpstr>
      <vt:lpstr>avgSalary</vt:lpstr>
      <vt:lpstr>Budget</vt:lpstr>
      <vt:lpstr>feeAmount</vt:lpstr>
      <vt:lpstr>hires</vt:lpstr>
      <vt:lpstr>Recruitment_fee</vt:lpstr>
      <vt:lpstr>TotalCost</vt:lpstr>
      <vt:lpstr>TotalSalary</vt:lpstr>
      <vt:lpstr>TotalTraining</vt:lpstr>
      <vt:lpstr>trainPerHire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bandhusingh1608@gmail.com</dc:creator>
  <cp:lastModifiedBy>bandhusingh1608@gmail.com</cp:lastModifiedBy>
  <dcterms:created xsi:type="dcterms:W3CDTF">2025-08-18T10:43:00Z</dcterms:created>
  <dcterms:modified xsi:type="dcterms:W3CDTF">2025-08-20T19:38:09Z</dcterms:modified>
</cp:coreProperties>
</file>